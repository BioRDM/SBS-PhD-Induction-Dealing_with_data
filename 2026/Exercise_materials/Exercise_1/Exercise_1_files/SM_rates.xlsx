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80425_ontim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<sst xmlns="http://schemas.openxmlformats.org/spreadsheetml/2006/main" count="26" uniqueCount="26">
  <si>
    <r>
      <rPr>
        <b val="true"/>
        <sz val="11"/>
        <color theme="1"/>
        <rFont val="Calibri"/>
        <family val="2"/>
        <charset val="1"/>
      </rPr>
      <t xml:space="preserve">Data acquired on: </t>
    </r>
    <r>
      <rPr>
        <sz val="11"/>
        <color theme="1"/>
        <rFont val="Calibri"/>
        <family val="2"/>
        <charset val="1"/>
      </rPr>
      <t xml:space="preserve">25/04/2018</t>
    </r>
  </si>
  <si>
    <r>
      <rPr>
        <b val="true"/>
        <sz val="11"/>
        <color theme="1"/>
        <rFont val="Calibri"/>
        <family val="2"/>
        <charset val="1"/>
      </rPr>
      <t xml:space="preserve">Data type: </t>
    </r>
    <r>
      <rPr>
        <sz val="11"/>
        <color theme="1"/>
        <rFont val="Calibri"/>
        <family val="2"/>
        <charset val="1"/>
      </rPr>
      <t xml:space="preserve">Single-Molecule</t>
    </r>
  </si>
  <si>
    <r>
      <rPr>
        <b val="true"/>
        <sz val="11"/>
        <color theme="1"/>
        <rFont val="Calibri"/>
        <family val="2"/>
        <charset val="1"/>
      </rPr>
      <t xml:space="preserve">Sample type: </t>
    </r>
    <r>
      <rPr>
        <sz val="11"/>
        <color theme="1"/>
        <rFont val="Calibri"/>
        <family val="2"/>
        <charset val="1"/>
      </rPr>
      <t xml:space="preserve">in-vitro</t>
    </r>
  </si>
  <si>
    <r>
      <rPr>
        <b val="true"/>
        <sz val="11"/>
        <color theme="1"/>
        <rFont val="Calibri"/>
        <family val="2"/>
        <charset val="1"/>
      </rPr>
      <t xml:space="preserve">Protein:</t>
    </r>
    <r>
      <rPr>
        <sz val="11"/>
        <color theme="1"/>
        <rFont val="Calibri"/>
        <family val="2"/>
        <charset val="1"/>
      </rPr>
      <t xml:space="preserve"> mEos4b</t>
    </r>
  </si>
  <si>
    <r>
      <rPr>
        <b val="true"/>
        <sz val="11"/>
        <color theme="1"/>
        <rFont val="Calibri"/>
        <family val="2"/>
        <charset val="1"/>
      </rPr>
      <t xml:space="preserve">Fitting model: </t>
    </r>
    <r>
      <rPr>
        <sz val="11"/>
        <color theme="1"/>
        <rFont val="Calibri"/>
        <family val="2"/>
        <charset val="1"/>
      </rPr>
      <t xml:space="preserve">2-states model</t>
    </r>
  </si>
  <si>
    <t xml:space="preserve">Exp number</t>
  </si>
  <si>
    <t xml:space="preserve">Laser power (%)</t>
  </si>
  <si>
    <t xml:space="preserve">Laser power (mW)</t>
  </si>
  <si>
    <t xml:space="preserve">Laser power (kW/cm2)</t>
  </si>
  <si>
    <t xml:space="preserve">k1</t>
  </si>
  <si>
    <t xml:space="preserve">Mean k1</t>
  </si>
  <si>
    <t xml:space="preserve">SD k1</t>
  </si>
  <si>
    <t xml:space="preserve">2b</t>
  </si>
  <si>
    <t xml:space="preserve">2c</t>
  </si>
  <si>
    <t xml:space="preserve">3b</t>
  </si>
  <si>
    <t xml:space="preserve">3c</t>
  </si>
  <si>
    <t xml:space="preserve">4b</t>
  </si>
  <si>
    <t xml:space="preserve">4c</t>
  </si>
  <si>
    <t xml:space="preserve">5b</t>
  </si>
  <si>
    <t xml:space="preserve">5c</t>
  </si>
  <si>
    <t xml:space="preserve">6b</t>
  </si>
  <si>
    <t xml:space="preserve">6c</t>
  </si>
  <si>
    <t xml:space="preserve">7b</t>
  </si>
  <si>
    <t xml:space="preserve">7c</t>
  </si>
  <si>
    <t xml:space="preserve">8b</t>
  </si>
  <si>
    <t xml:space="preserve">8c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</si>
</sst>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spPr>
            <a:solidFill>
              <a:srgbClr val="99ccff"/>
            </a:solidFill>
            <a:ln w="28440">
              <a:noFill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180425_ontimes!$G$7:$G$27</c:f>
                <c:numCache>
                  <c:formatCode>0.0</c:formatCode>
                  <c:ptCount val="21"/>
                  <c:pt idx="2">
                    <c:v>1.34288247189891</c:v>
                  </c:pt>
                  <c:pt idx="5">
                    <c:v>1.00664459136943</c:v>
                  </c:pt>
                  <c:pt idx="8">
                    <c:v>0.5</c:v>
                  </c:pt>
                  <c:pt idx="11">
                    <c:v>1.00166528008778</c:v>
                  </c:pt>
                  <c:pt idx="14">
                    <c:v>0.8</c:v>
                  </c:pt>
                  <c:pt idx="17">
                    <c:v>0.99026932363541</c:v>
                  </c:pt>
                  <c:pt idx="20">
                    <c:v>0.680685928555404</c:v>
                  </c:pt>
                </c:numCache>
              </c:numRef>
            </c:plus>
            <c:minus>
              <c:numRef>
                <c:f>180425_ontimes!$G$7:$G$27</c:f>
                <c:numCache>
                  <c:formatCode>0.0</c:formatCode>
                  <c:ptCount val="21"/>
                  <c:pt idx="2">
                    <c:v>1.34288247189891</c:v>
                  </c:pt>
                  <c:pt idx="5">
                    <c:v>1.00664459136943</c:v>
                  </c:pt>
                  <c:pt idx="8">
                    <c:v>0.5</c:v>
                  </c:pt>
                  <c:pt idx="11">
                    <c:v>1.00166528008778</c:v>
                  </c:pt>
                  <c:pt idx="14">
                    <c:v>0.8</c:v>
                  </c:pt>
                  <c:pt idx="17">
                    <c:v>0.99026932363541</c:v>
                  </c:pt>
                  <c:pt idx="20">
                    <c:v>0.680685928555404</c:v>
                  </c:pt>
                </c:numCache>
              </c:numRef>
            </c:minus>
            <c:spPr>
              <a:ln w="9360">
                <a:solidFill>
                  <a:srgbClr val="000000"/>
                </a:solidFill>
                <a:round/>
              </a:ln>
            </c:spPr>
          </c:errBars>
          <c:xVal>
            <c:numRef>
              <c:f>180425_ontimes!$D$7:$D$27</c:f>
              <c:numCache>
                <c:formatCode>General</c:formatCode>
                <c:ptCount val="21"/>
                <c:pt idx="0">
                  <c:v>0.175</c:v>
                </c:pt>
                <c:pt idx="1">
                  <c:v>0.175</c:v>
                </c:pt>
                <c:pt idx="2">
                  <c:v>0.175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1.9</c:v>
                </c:pt>
                <c:pt idx="10">
                  <c:v>1.9</c:v>
                </c:pt>
                <c:pt idx="11">
                  <c:v>1.9</c:v>
                </c:pt>
                <c:pt idx="12">
                  <c:v>2.8</c:v>
                </c:pt>
                <c:pt idx="13">
                  <c:v>2.8</c:v>
                </c:pt>
                <c:pt idx="14">
                  <c:v>2.8</c:v>
                </c:pt>
                <c:pt idx="15">
                  <c:v>3.7</c:v>
                </c:pt>
                <c:pt idx="16">
                  <c:v>3.7</c:v>
                </c:pt>
                <c:pt idx="17">
                  <c:v>3.7</c:v>
                </c:pt>
                <c:pt idx="18">
                  <c:v>5.7</c:v>
                </c:pt>
                <c:pt idx="19">
                  <c:v>5.7</c:v>
                </c:pt>
                <c:pt idx="20">
                  <c:v>5.7</c:v>
                </c:pt>
              </c:numCache>
            </c:numRef>
          </c:xVal>
          <c:yVal>
            <c:numRef>
              <c:f>180425_ontimes!$F$7:$F$27</c:f>
              <c:numCache>
                <c:formatCode>0.0</c:formatCode>
                <c:ptCount val="21"/>
                <c:pt idx="2">
                  <c:v>8.86666666666667</c:v>
                </c:pt>
                <c:pt idx="5">
                  <c:v>8.33333333333333</c:v>
                </c:pt>
                <c:pt idx="8">
                  <c:v>9.7</c:v>
                </c:pt>
                <c:pt idx="11">
                  <c:v>11.7333333333333</c:v>
                </c:pt>
                <c:pt idx="14">
                  <c:v>12.8</c:v>
                </c:pt>
                <c:pt idx="17">
                  <c:v>14.0766666666667</c:v>
                </c:pt>
                <c:pt idx="20">
                  <c:v>15.4333333333333</c:v>
                </c:pt>
              </c:numCache>
            </c:numRef>
          </c:yVal>
          <c:smooth val="0"/>
        </c:ser>
        <c:axId val="52475484"/>
        <c:axId val="7354227"/>
      </c:scatterChart>
      <c:valAx>
        <c:axId val="5247548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54227"/>
        <c:crosses val="autoZero"/>
        <c:crossBetween val="midCat"/>
      </c:valAx>
      <c:valAx>
        <c:axId val="735422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475484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472680</xdr:colOff>
      <xdr:row>5</xdr:row>
      <xdr:rowOff>47520</xdr:rowOff>
    </xdr:from>
    <xdr:to>
      <xdr:col>14</xdr:col>
      <xdr:colOff>472680</xdr:colOff>
      <xdr:row>19</xdr:row>
      <xdr:rowOff>156600</xdr:rowOff>
    </xdr:to>
    <xdr:graphicFrame>
      <xdr:nvGraphicFramePr>
        <xdr:cNvPr id="0" name="Graphique 1"/>
        <xdr:cNvGraphicFramePr/>
      </xdr:nvGraphicFramePr>
      <xdr:xfrm>
        <a:off x="9213480" y="1000080"/>
        <a:ext cx="4514760" cy="2775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ColWidth="10.6796875" defaultRowHeight="15" zeroHeight="false" outlineLevelRow="0" outlineLevelCol="0"/>
  <cols>
    <col collapsed="false" customWidth="true" hidden="false" outlineLevel="0" max="1" min="1" style="0" width="27.45"/>
    <col collapsed="false" customWidth="true" hidden="false" outlineLevel="0" max="2" min="2" style="0" width="15.14"/>
    <col collapsed="false" customWidth="true" hidden="false" outlineLevel="0" max="3" min="3" style="0" width="17.42"/>
    <col collapsed="false" customWidth="true" hidden="false" outlineLevel="0" max="4" min="4" style="0" width="21.29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1" t="s">
        <v>1</v>
      </c>
    </row>
    <row r="3" customFormat="false" ht="15" hidden="false" customHeight="false" outlineLevel="0" collapsed="false">
      <c r="A3" s="1" t="s">
        <v>2</v>
      </c>
    </row>
    <row r="4" customFormat="false" ht="15" hidden="false" customHeight="false" outlineLevel="0" collapsed="false">
      <c r="A4" s="1" t="s">
        <v>3</v>
      </c>
    </row>
    <row r="5" customFormat="false" ht="15" hidden="false" customHeight="false" outlineLevel="0" collapsed="false">
      <c r="A5" s="1" t="s">
        <v>4</v>
      </c>
    </row>
    <row r="6" customFormat="false" ht="15" hidden="false" customHeight="false" outlineLevel="0" collapsed="false">
      <c r="A6" s="2" t="s">
        <v>5</v>
      </c>
      <c r="B6" s="2" t="s">
        <v>6</v>
      </c>
      <c r="C6" s="2" t="s">
        <v>7</v>
      </c>
      <c r="D6" s="3" t="s">
        <v>8</v>
      </c>
      <c r="E6" s="3" t="s">
        <v>9</v>
      </c>
      <c r="F6" s="3" t="s">
        <v>10</v>
      </c>
      <c r="G6" s="3" t="s">
        <v>11</v>
      </c>
    </row>
    <row r="7" customFormat="false" ht="15" hidden="false" customHeight="false" outlineLevel="0" collapsed="false">
      <c r="A7" s="4" t="n">
        <v>2</v>
      </c>
      <c r="B7" s="4" t="n">
        <v>2</v>
      </c>
      <c r="C7" s="5" t="n">
        <v>1.4</v>
      </c>
      <c r="D7" s="5" t="n">
        <v>0.175</v>
      </c>
      <c r="E7" s="5" t="n">
        <v>7.9</v>
      </c>
    </row>
    <row r="8" customFormat="false" ht="15" hidden="false" customHeight="false" outlineLevel="0" collapsed="false">
      <c r="A8" s="0" t="s">
        <v>12</v>
      </c>
      <c r="B8" s="4" t="n">
        <v>2</v>
      </c>
      <c r="C8" s="5" t="n">
        <v>1.4</v>
      </c>
      <c r="D8" s="5" t="n">
        <v>0.175</v>
      </c>
      <c r="E8" s="5" t="n">
        <v>10.4</v>
      </c>
    </row>
    <row r="9" customFormat="false" ht="15" hidden="false" customHeight="false" outlineLevel="0" collapsed="false">
      <c r="A9" s="0" t="s">
        <v>13</v>
      </c>
      <c r="B9" s="4" t="n">
        <v>2</v>
      </c>
      <c r="C9" s="5" t="n">
        <v>1.4</v>
      </c>
      <c r="D9" s="5" t="n">
        <v>0.175</v>
      </c>
      <c r="E9" s="5" t="n">
        <v>8.3</v>
      </c>
      <c r="F9" s="6" t="n">
        <f aca="false">AVERAGE(E7:E9)</f>
        <v>8.86666666666667</v>
      </c>
      <c r="G9" s="6" t="n">
        <f aca="false">STDEV(E7:E9)</f>
        <v>1.34288247189891</v>
      </c>
    </row>
    <row r="10" customFormat="false" ht="15" hidden="false" customHeight="false" outlineLevel="0" collapsed="false">
      <c r="A10" s="4" t="n">
        <v>3</v>
      </c>
      <c r="B10" s="4" t="n">
        <v>5</v>
      </c>
      <c r="C10" s="5" t="n">
        <v>4</v>
      </c>
      <c r="D10" s="5" t="n">
        <v>0.5</v>
      </c>
      <c r="E10" s="5" t="n">
        <v>8.2</v>
      </c>
      <c r="F10" s="6"/>
      <c r="G10" s="6"/>
    </row>
    <row r="11" customFormat="false" ht="15" hidden="false" customHeight="false" outlineLevel="0" collapsed="false">
      <c r="A11" s="5" t="s">
        <v>14</v>
      </c>
      <c r="B11" s="4" t="n">
        <v>5</v>
      </c>
      <c r="C11" s="5" t="n">
        <v>4</v>
      </c>
      <c r="D11" s="5" t="n">
        <v>0.5</v>
      </c>
      <c r="E11" s="5" t="n">
        <v>7.4</v>
      </c>
      <c r="F11" s="6"/>
      <c r="G11" s="6"/>
    </row>
    <row r="12" customFormat="false" ht="15" hidden="false" customHeight="false" outlineLevel="0" collapsed="false">
      <c r="A12" s="5" t="s">
        <v>15</v>
      </c>
      <c r="B12" s="4" t="n">
        <v>5</v>
      </c>
      <c r="C12" s="5" t="n">
        <v>4</v>
      </c>
      <c r="D12" s="5" t="n">
        <v>0.5</v>
      </c>
      <c r="E12" s="5" t="n">
        <v>9.4</v>
      </c>
      <c r="F12" s="6" t="n">
        <f aca="false">AVERAGE(E10:E12)</f>
        <v>8.33333333333333</v>
      </c>
      <c r="G12" s="6" t="n">
        <f aca="false">STDEV(E10:E12)</f>
        <v>1.00664459136943</v>
      </c>
    </row>
    <row r="13" customFormat="false" ht="15" hidden="false" customHeight="false" outlineLevel="0" collapsed="false">
      <c r="A13" s="4" t="n">
        <v>4</v>
      </c>
      <c r="B13" s="4" t="n">
        <v>10</v>
      </c>
      <c r="C13" s="5" t="n">
        <v>8.2</v>
      </c>
      <c r="D13" s="5" t="n">
        <v>1</v>
      </c>
      <c r="E13" s="5" t="n">
        <v>9.2</v>
      </c>
      <c r="F13" s="6"/>
      <c r="G13" s="6"/>
    </row>
    <row r="14" customFormat="false" ht="15" hidden="false" customHeight="false" outlineLevel="0" collapsed="false">
      <c r="A14" s="5" t="s">
        <v>16</v>
      </c>
      <c r="B14" s="4" t="n">
        <v>10</v>
      </c>
      <c r="C14" s="5" t="n">
        <v>8.2</v>
      </c>
      <c r="D14" s="5" t="n">
        <v>1</v>
      </c>
      <c r="E14" s="5" t="n">
        <v>9.7</v>
      </c>
      <c r="F14" s="6"/>
      <c r="G14" s="6"/>
    </row>
    <row r="15" customFormat="false" ht="15" hidden="false" customHeight="false" outlineLevel="0" collapsed="false">
      <c r="A15" s="5" t="s">
        <v>17</v>
      </c>
      <c r="B15" s="4" t="n">
        <v>10</v>
      </c>
      <c r="C15" s="5" t="n">
        <v>8.2</v>
      </c>
      <c r="D15" s="5" t="n">
        <v>1</v>
      </c>
      <c r="E15" s="5" t="n">
        <v>10.2</v>
      </c>
      <c r="F15" s="6" t="n">
        <f aca="false">AVERAGE(E13:E15)</f>
        <v>9.7</v>
      </c>
      <c r="G15" s="6" t="n">
        <f aca="false">STDEV(E13:E15)</f>
        <v>0.5</v>
      </c>
    </row>
    <row r="16" customFormat="false" ht="15" hidden="false" customHeight="false" outlineLevel="0" collapsed="false">
      <c r="A16" s="4" t="n">
        <v>5</v>
      </c>
      <c r="B16" s="4" t="n">
        <v>20</v>
      </c>
      <c r="C16" s="5" t="n">
        <v>15.8</v>
      </c>
      <c r="D16" s="5" t="n">
        <v>1.9</v>
      </c>
      <c r="E16" s="5" t="n">
        <v>12.5</v>
      </c>
      <c r="F16" s="6"/>
      <c r="G16" s="6"/>
    </row>
    <row r="17" customFormat="false" ht="15" hidden="false" customHeight="false" outlineLevel="0" collapsed="false">
      <c r="A17" s="5" t="s">
        <v>18</v>
      </c>
      <c r="B17" s="4" t="n">
        <v>20</v>
      </c>
      <c r="C17" s="5" t="n">
        <v>15.8</v>
      </c>
      <c r="D17" s="5" t="n">
        <v>1.9</v>
      </c>
      <c r="E17" s="5" t="n">
        <v>10.6</v>
      </c>
      <c r="F17" s="6"/>
      <c r="G17" s="6"/>
    </row>
    <row r="18" customFormat="false" ht="15" hidden="false" customHeight="false" outlineLevel="0" collapsed="false">
      <c r="A18" s="5" t="s">
        <v>19</v>
      </c>
      <c r="B18" s="4" t="n">
        <v>20</v>
      </c>
      <c r="C18" s="5" t="n">
        <v>15.8</v>
      </c>
      <c r="D18" s="5" t="n">
        <v>1.9</v>
      </c>
      <c r="E18" s="5" t="n">
        <v>12.1</v>
      </c>
      <c r="F18" s="6" t="n">
        <f aca="false">AVERAGE(E16:E18)</f>
        <v>11.7333333333333</v>
      </c>
      <c r="G18" s="6" t="n">
        <f aca="false">STDEV(E16:E18)</f>
        <v>1.00166528008778</v>
      </c>
    </row>
    <row r="19" customFormat="false" ht="15" hidden="false" customHeight="false" outlineLevel="0" collapsed="false">
      <c r="A19" s="4" t="n">
        <v>6</v>
      </c>
      <c r="B19" s="4" t="n">
        <v>30</v>
      </c>
      <c r="C19" s="5" t="n">
        <v>22.9</v>
      </c>
      <c r="D19" s="5" t="n">
        <v>2.8</v>
      </c>
      <c r="E19" s="5" t="n">
        <v>12</v>
      </c>
      <c r="F19" s="6"/>
      <c r="G19" s="6"/>
    </row>
    <row r="20" customFormat="false" ht="15" hidden="false" customHeight="false" outlineLevel="0" collapsed="false">
      <c r="A20" s="5" t="s">
        <v>20</v>
      </c>
      <c r="B20" s="4" t="n">
        <v>30</v>
      </c>
      <c r="C20" s="5" t="n">
        <v>22.9</v>
      </c>
      <c r="D20" s="5" t="n">
        <v>2.8</v>
      </c>
      <c r="E20" s="5" t="n">
        <v>12.8</v>
      </c>
      <c r="F20" s="6"/>
      <c r="G20" s="6"/>
    </row>
    <row r="21" customFormat="false" ht="15" hidden="false" customHeight="false" outlineLevel="0" collapsed="false">
      <c r="A21" s="5" t="s">
        <v>21</v>
      </c>
      <c r="B21" s="4" t="n">
        <v>30</v>
      </c>
      <c r="C21" s="5" t="n">
        <v>22.9</v>
      </c>
      <c r="D21" s="5" t="n">
        <v>2.8</v>
      </c>
      <c r="E21" s="5" t="n">
        <v>13.6</v>
      </c>
      <c r="F21" s="6" t="n">
        <f aca="false">AVERAGE(E19:E21)</f>
        <v>12.8</v>
      </c>
      <c r="G21" s="6" t="n">
        <f aca="false">STDEV(E19:E21)</f>
        <v>0.8</v>
      </c>
    </row>
    <row r="22" customFormat="false" ht="15" hidden="false" customHeight="false" outlineLevel="0" collapsed="false">
      <c r="A22" s="4" t="n">
        <v>7</v>
      </c>
      <c r="B22" s="4" t="n">
        <v>40</v>
      </c>
      <c r="C22" s="5" t="n">
        <v>30</v>
      </c>
      <c r="D22" s="5" t="n">
        <v>3.7</v>
      </c>
      <c r="E22" s="5" t="n">
        <v>13.7</v>
      </c>
      <c r="F22" s="6"/>
      <c r="G22" s="6"/>
    </row>
    <row r="23" customFormat="false" ht="15" hidden="false" customHeight="false" outlineLevel="0" collapsed="false">
      <c r="A23" s="5" t="s">
        <v>22</v>
      </c>
      <c r="B23" s="4" t="n">
        <v>40</v>
      </c>
      <c r="C23" s="5" t="n">
        <v>30</v>
      </c>
      <c r="D23" s="5" t="n">
        <v>3.7</v>
      </c>
      <c r="E23" s="5" t="n">
        <v>13.33</v>
      </c>
      <c r="F23" s="6"/>
      <c r="G23" s="6"/>
    </row>
    <row r="24" customFormat="false" ht="15" hidden="false" customHeight="false" outlineLevel="0" collapsed="false">
      <c r="A24" s="5" t="s">
        <v>23</v>
      </c>
      <c r="B24" s="4" t="n">
        <v>40</v>
      </c>
      <c r="C24" s="5" t="n">
        <v>30</v>
      </c>
      <c r="D24" s="5" t="n">
        <v>3.7</v>
      </c>
      <c r="E24" s="5" t="n">
        <v>15.2</v>
      </c>
      <c r="F24" s="6" t="n">
        <f aca="false">AVERAGE(E22:E24)</f>
        <v>14.0766666666667</v>
      </c>
      <c r="G24" s="6" t="n">
        <f aca="false">STDEV(E22:E24)</f>
        <v>0.99026932363541</v>
      </c>
    </row>
    <row r="25" customFormat="false" ht="15" hidden="false" customHeight="false" outlineLevel="0" collapsed="false">
      <c r="A25" s="4" t="n">
        <v>8</v>
      </c>
      <c r="B25" s="4" t="n">
        <v>60</v>
      </c>
      <c r="C25" s="5" t="n">
        <v>46</v>
      </c>
      <c r="D25" s="5" t="n">
        <v>5.7</v>
      </c>
      <c r="E25" s="5" t="n">
        <v>14.9</v>
      </c>
      <c r="F25" s="6"/>
      <c r="G25" s="6"/>
    </row>
    <row r="26" customFormat="false" ht="15" hidden="false" customHeight="false" outlineLevel="0" collapsed="false">
      <c r="A26" s="5" t="s">
        <v>24</v>
      </c>
      <c r="B26" s="4" t="n">
        <v>60</v>
      </c>
      <c r="C26" s="5" t="n">
        <v>46</v>
      </c>
      <c r="D26" s="5" t="n">
        <v>5.7</v>
      </c>
      <c r="E26" s="5" t="n">
        <v>15.2</v>
      </c>
      <c r="F26" s="6"/>
      <c r="G26" s="6"/>
    </row>
    <row r="27" customFormat="false" ht="15" hidden="false" customHeight="false" outlineLevel="0" collapsed="false">
      <c r="A27" s="5" t="s">
        <v>25</v>
      </c>
      <c r="B27" s="4" t="n">
        <v>60</v>
      </c>
      <c r="C27" s="5" t="n">
        <v>46</v>
      </c>
      <c r="D27" s="5" t="n">
        <v>5.7</v>
      </c>
      <c r="E27" s="5" t="n">
        <v>16.2</v>
      </c>
      <c r="F27" s="6" t="n">
        <f aca="false">AVERAGE(E25:E27)</f>
        <v>15.4333333333333</v>
      </c>
      <c r="G27" s="6" t="n">
        <f aca="false">STDEV(E25:E27)</f>
        <v>0.680685928555404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2017-07-27T12:22:42Z</dcterms:created>
  <dc:creator>bourgeoi</dc:creator>
  <dc:description/>
  <dc:language>en-US</dc:language>
  <cp:lastModifiedBy/>
  <dcterms:modified xsi:type="dcterms:W3CDTF">2025-09-16T10:12:15Z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